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nandrew/Downloads/CNCEC RL and BL Material Prediction Project/"/>
    </mc:Choice>
  </mc:AlternateContent>
  <xr:revisionPtr revIDLastSave="0" documentId="13_ncr:1_{A4AF4F49-4A40-4B48-B69F-5641DA2D03E8}" xr6:coauthVersionLast="47" xr6:coauthVersionMax="47" xr10:uidLastSave="{00000000-0000-0000-0000-000000000000}"/>
  <bookViews>
    <workbookView xWindow="0" yWindow="680" windowWidth="14720" windowHeight="18440" xr2:uid="{90263BA2-E30A-4598-B8D1-B7923144A5FA}"/>
  </bookViews>
  <sheets>
    <sheet name="Materials" sheetId="1" r:id="rId1"/>
  </sheets>
  <definedNames>
    <definedName name="_xlnm._FilterDatabase" localSheetId="0" hidden="1">Materials!$A$1:$J$29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9" i="1"/>
  <c r="I29" i="1"/>
  <c r="J9" i="1"/>
  <c r="I9" i="1"/>
  <c r="J8" i="1"/>
  <c r="I8" i="1"/>
  <c r="J6" i="1"/>
  <c r="I6" i="1"/>
  <c r="J27" i="1"/>
</calcChain>
</file>

<file path=xl/sharedStrings.xml><?xml version="1.0" encoding="utf-8"?>
<sst xmlns="http://schemas.openxmlformats.org/spreadsheetml/2006/main" count="183" uniqueCount="70">
  <si>
    <t>Item</t>
  </si>
  <si>
    <t>Vendor/supplying plant</t>
  </si>
  <si>
    <t>Purchasing Document</t>
  </si>
  <si>
    <t>Document Date</t>
  </si>
  <si>
    <t>Nature</t>
  </si>
  <si>
    <t>110341     CARBORUNDUM UNIVERSAL LIMITED</t>
  </si>
  <si>
    <t>4720002728</t>
  </si>
  <si>
    <t>GI-8003100</t>
  </si>
  <si>
    <t>CUMIFURAN SYRUP LIQUID RESIN</t>
  </si>
  <si>
    <t>Adhesive</t>
  </si>
  <si>
    <t>KG</t>
  </si>
  <si>
    <t>GI-8003099</t>
  </si>
  <si>
    <t>CUMIFURAN FN POWDER</t>
  </si>
  <si>
    <t>GI-8005758</t>
  </si>
  <si>
    <t>CUMIBON 105 - 240X115X30MM</t>
  </si>
  <si>
    <t>Brick</t>
  </si>
  <si>
    <t>NO</t>
  </si>
  <si>
    <t>GI-8005759</t>
  </si>
  <si>
    <t>CUMIBON 105 - 240X115X63MM</t>
  </si>
  <si>
    <t>GI-8005760</t>
  </si>
  <si>
    <t>PHENACIN A SYRUP</t>
  </si>
  <si>
    <t>GI-8005761</t>
  </si>
  <si>
    <t>PHENACIN ACP POWDER</t>
  </si>
  <si>
    <t>GI-8005762</t>
  </si>
  <si>
    <t>AR BRICKS - 230X115X30MM</t>
  </si>
  <si>
    <t>GI-8005763</t>
  </si>
  <si>
    <t>AR BRICKS - 230X115X40MM</t>
  </si>
  <si>
    <t>GI-8005764</t>
  </si>
  <si>
    <t>CUMIFLOOR ECO PRIMER</t>
  </si>
  <si>
    <t>KIT</t>
  </si>
  <si>
    <t>GI-8005765</t>
  </si>
  <si>
    <t>CUMICRETE PU MF 300 (3MM)</t>
  </si>
  <si>
    <t>GI-8005766</t>
  </si>
  <si>
    <t>CUMICRETE PU MF 300 (1MM)</t>
  </si>
  <si>
    <t>GI-8005767</t>
  </si>
  <si>
    <t>CUMICRETE PU MF 300 (5MM)</t>
  </si>
  <si>
    <t>110201     TIP TOP Oberflächenschutz Elbe GMBH</t>
  </si>
  <si>
    <t>4720002729</t>
  </si>
  <si>
    <t>GI-6002001</t>
  </si>
  <si>
    <t>CHEMOLINE 4 E CN - 4 x 1100 x 10000 mm (</t>
  </si>
  <si>
    <t>Rubber Sheet</t>
  </si>
  <si>
    <t>M2</t>
  </si>
  <si>
    <t>We have Ex-Stock 1000 Sqm 4mm 4ECN Rubber Sheet &amp; Adhesive, which was bought for other project and same can be utilized to startup the job</t>
  </si>
  <si>
    <t>GI-6000012</t>
  </si>
  <si>
    <t>BC 3004 (9 KG)</t>
  </si>
  <si>
    <t>EA</t>
  </si>
  <si>
    <t>GI-6000005</t>
  </si>
  <si>
    <t>HARDENER E-40 30 GR</t>
  </si>
  <si>
    <t>GI-6000013</t>
  </si>
  <si>
    <t>PRIMER PR 304 - 10 KG</t>
  </si>
  <si>
    <t>GI-6002242</t>
  </si>
  <si>
    <t>CARBON FILLER - (25KG)</t>
  </si>
  <si>
    <t>BAG</t>
  </si>
  <si>
    <t>GI-6002243</t>
  </si>
  <si>
    <t>COROFLAKE EP PRIMER COMP A (14 KG)</t>
  </si>
  <si>
    <t>DR</t>
  </si>
  <si>
    <t>GI-6002244</t>
  </si>
  <si>
    <t>COROFLAKE EP PRIMER COMP B (7 KG)</t>
  </si>
  <si>
    <t>GI-6002245</t>
  </si>
  <si>
    <t>SOLVENT T200 - (8KG)</t>
  </si>
  <si>
    <t>GI-6002241</t>
  </si>
  <si>
    <t>SOLVENT CF-CE-(8.4KG)</t>
  </si>
  <si>
    <t>Material_Code</t>
  </si>
  <si>
    <t>UOM</t>
  </si>
  <si>
    <t>Available_Qty</t>
  </si>
  <si>
    <t>Material_Name</t>
  </si>
  <si>
    <t>GI-6000027</t>
  </si>
  <si>
    <t>Solvent</t>
  </si>
  <si>
    <t>Toluene</t>
  </si>
  <si>
    <t>Ordered_Qty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</si>
</sst>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2" fontId="0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2" fontId="0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2" fontId="2" fillId="2" borderId="7" xfId="1" applyNumberFormat="1" applyFont="1" applyFill="1" applyBorder="1" applyAlignment="1">
      <alignment horizontal="center" vertical="center"/>
    </xf>
    <xf numFmtId="2" fontId="2" fillId="2" borderId="7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top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vertical="top"/>
    </xf>
    <xf numFmtId="0" fontId="0" fillId="0" borderId="9" xfId="0" applyBorder="1" applyAlignment="1">
      <alignment horizontal="center" vertical="center"/>
    </xf>
    <xf numFmtId="2" fontId="0" fillId="0" borderId="9" xfId="1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5421D-E268-9C40-B582-813BAD892739}" name="Table1" displayName="Table1" ref="A1:J29" totalsRowShown="0" dataDxfId="12" headerRowBorderDxfId="13" tableBorderDxfId="11" totalsRowBorderDxfId="10" dataCellStyle="Comma">
  <autoFilter ref="A1:J29" xr:uid="{00000000-0009-0000-0000-000001000000}"/>
  <sortState xmlns:xlrd2="http://schemas.microsoft.com/office/spreadsheetml/2017/richdata2" ref="A2:J29">
    <sortCondition ref="F1:F29"/>
  </sortState>
  <tableColumns count="10">
    <tableColumn id="1" xr3:uid="{4CB4785D-7BC4-1342-9EE5-702C6E0EC98A}" name="Item" dataDxfId="9"/>
    <tableColumn id="2" xr3:uid="{C094BA33-089E-BB4A-A80F-D498C2511F72}" name="Vendor/supplying plant" dataDxfId="8"/>
    <tableColumn id="3" xr3:uid="{B890B108-D76F-F948-A925-1E8349B8C29A}" name="Purchasing Document" dataDxfId="7"/>
    <tableColumn id="4" xr3:uid="{E7411C4B-745D-1246-A6E7-8E75EBDB193C}" name="Document Date" dataDxfId="6"/>
    <tableColumn id="5" xr3:uid="{5CB640D8-FEAD-7E45-A496-2FCEE2F3E8EB}" name="Material_Code" dataDxfId="5"/>
    <tableColumn id="6" xr3:uid="{3C421A60-68A4-564F-BB54-E1630DD0A263}" name="Material_Name" dataDxfId="4"/>
    <tableColumn id="7" xr3:uid="{C34DE56B-45E5-E642-A36B-3E5FADC6FF9E}" name="Nature" dataDxfId="3"/>
    <tableColumn id="8" xr3:uid="{7CBE8ECB-BAE2-D240-8A64-5A8A25AEDD45}" name="UOM" dataDxfId="2"/>
    <tableColumn id="9" xr3:uid="{70F74799-C058-F849-8199-00C93D73AC32}" name="Available_Qty" dataDxfId="1" dataCellStyle="Comma"/>
    <tableColumn id="13" xr3:uid="{874D5565-4AAE-7B4A-906D-F45F79487215}" name="Ordered_Qty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9B0C-0F3E-4981-9943-0CFD94A73998}">
  <sheetPr>
    <outlinePr summaryBelow="0"/>
  </sheetPr>
  <dimension ref="A1:L30"/>
  <sheetViews>
    <sheetView tabSelected="1" topLeftCell="E1" zoomScale="102" zoomScaleNormal="100" workbookViewId="0">
      <selection activeCell="J32" sqref="J32"/>
    </sheetView>
  </sheetViews>
  <sheetFormatPr baseColWidth="10" defaultColWidth="8.6640625" defaultRowHeight="13" x14ac:dyDescent="0.15"/>
  <cols>
    <col min="1" max="1" width="7" style="9" customWidth="1"/>
    <col min="2" max="2" width="42.6640625" style="9" bestFit="1" customWidth="1"/>
    <col min="3" max="3" width="21.5" style="12" customWidth="1"/>
    <col min="4" max="4" width="15.83203125" style="12" customWidth="1"/>
    <col min="5" max="5" width="15.1640625" style="9" customWidth="1"/>
    <col min="6" max="6" width="38.5" style="9" bestFit="1" customWidth="1"/>
    <col min="7" max="7" width="11.83203125" style="9" bestFit="1" customWidth="1"/>
    <col min="8" max="8" width="8.33203125" style="13" customWidth="1"/>
    <col min="9" max="9" width="18.33203125" style="14" bestFit="1" customWidth="1"/>
    <col min="10" max="10" width="18.33203125" style="14" customWidth="1"/>
    <col min="11" max="11" width="34.6640625" style="9" customWidth="1"/>
    <col min="12" max="16384" width="8.6640625" style="9"/>
  </cols>
  <sheetData>
    <row r="1" spans="1:12" s="1" customFormat="1" ht="65.5" customHeight="1" x14ac:dyDescent="0.15">
      <c r="A1" s="16" t="s">
        <v>0</v>
      </c>
      <c r="B1" s="17" t="s">
        <v>1</v>
      </c>
      <c r="C1" s="18" t="s">
        <v>2</v>
      </c>
      <c r="D1" s="18" t="s">
        <v>3</v>
      </c>
      <c r="E1" s="17" t="s">
        <v>62</v>
      </c>
      <c r="F1" s="17" t="s">
        <v>65</v>
      </c>
      <c r="G1" s="17" t="s">
        <v>4</v>
      </c>
      <c r="H1" s="18" t="s">
        <v>63</v>
      </c>
      <c r="I1" s="19" t="s">
        <v>64</v>
      </c>
      <c r="J1" s="20" t="s">
        <v>69</v>
      </c>
    </row>
    <row r="2" spans="1:12" ht="14" x14ac:dyDescent="0.15">
      <c r="A2" s="15">
        <v>19</v>
      </c>
      <c r="B2" s="3" t="s">
        <v>5</v>
      </c>
      <c r="C2" s="4" t="s">
        <v>6</v>
      </c>
      <c r="D2" s="5">
        <v>46030</v>
      </c>
      <c r="E2" s="3" t="s">
        <v>23</v>
      </c>
      <c r="F2" s="3" t="s">
        <v>24</v>
      </c>
      <c r="G2" s="6" t="s">
        <v>15</v>
      </c>
      <c r="H2" s="2" t="s">
        <v>16</v>
      </c>
      <c r="I2" s="7">
        <v>47880</v>
      </c>
      <c r="J2" s="7">
        <v>37240</v>
      </c>
    </row>
    <row r="3" spans="1:12" ht="14" x14ac:dyDescent="0.15">
      <c r="A3" s="15">
        <v>9</v>
      </c>
      <c r="B3" s="3" t="s">
        <v>5</v>
      </c>
      <c r="C3" s="4" t="s">
        <v>6</v>
      </c>
      <c r="D3" s="5">
        <v>46030</v>
      </c>
      <c r="E3" s="3" t="s">
        <v>23</v>
      </c>
      <c r="F3" s="3" t="s">
        <v>24</v>
      </c>
      <c r="G3" s="6" t="s">
        <v>15</v>
      </c>
      <c r="H3" s="2" t="s">
        <v>16</v>
      </c>
      <c r="I3" s="7"/>
      <c r="J3" s="7">
        <v>10080</v>
      </c>
    </row>
    <row r="4" spans="1:12" ht="14" x14ac:dyDescent="0.15">
      <c r="A4" s="15">
        <v>12</v>
      </c>
      <c r="B4" s="3" t="s">
        <v>5</v>
      </c>
      <c r="C4" s="4" t="s">
        <v>6</v>
      </c>
      <c r="D4" s="5">
        <v>46030</v>
      </c>
      <c r="E4" s="3" t="s">
        <v>25</v>
      </c>
      <c r="F4" s="3" t="s">
        <v>26</v>
      </c>
      <c r="G4" s="6" t="s">
        <v>15</v>
      </c>
      <c r="H4" s="2" t="s">
        <v>16</v>
      </c>
      <c r="I4" s="10">
        <v>133056</v>
      </c>
      <c r="J4" s="7">
        <v>9944</v>
      </c>
    </row>
    <row r="5" spans="1:12" ht="14" x14ac:dyDescent="0.15">
      <c r="A5" s="15">
        <v>21</v>
      </c>
      <c r="B5" s="3" t="s">
        <v>36</v>
      </c>
      <c r="C5" s="4" t="s">
        <v>37</v>
      </c>
      <c r="D5" s="5">
        <v>46030</v>
      </c>
      <c r="E5" s="3" t="s">
        <v>43</v>
      </c>
      <c r="F5" s="3" t="s">
        <v>44</v>
      </c>
      <c r="G5" s="6" t="s">
        <v>9</v>
      </c>
      <c r="H5" s="2" t="s">
        <v>45</v>
      </c>
      <c r="I5" s="7"/>
      <c r="J5" s="7">
        <v>7281</v>
      </c>
    </row>
    <row r="6" spans="1:12" ht="14" x14ac:dyDescent="0.15">
      <c r="A6" s="15">
        <v>24</v>
      </c>
      <c r="B6" s="3" t="s">
        <v>36</v>
      </c>
      <c r="C6" s="4" t="s">
        <v>37</v>
      </c>
      <c r="D6" s="5">
        <v>46030</v>
      </c>
      <c r="E6" s="3" t="s">
        <v>50</v>
      </c>
      <c r="F6" s="3" t="s">
        <v>51</v>
      </c>
      <c r="G6" s="6" t="s">
        <v>9</v>
      </c>
      <c r="H6" s="2" t="s">
        <v>52</v>
      </c>
      <c r="I6" s="7">
        <f>99*25</f>
        <v>2475</v>
      </c>
      <c r="J6" s="7">
        <f>618*25</f>
        <v>15450</v>
      </c>
    </row>
    <row r="7" spans="1:12" ht="14" x14ac:dyDescent="0.15">
      <c r="A7" s="15">
        <v>20</v>
      </c>
      <c r="B7" s="3" t="s">
        <v>36</v>
      </c>
      <c r="C7" s="4" t="s">
        <v>37</v>
      </c>
      <c r="D7" s="5">
        <v>46030</v>
      </c>
      <c r="E7" s="3" t="s">
        <v>38</v>
      </c>
      <c r="F7" s="3" t="s">
        <v>39</v>
      </c>
      <c r="G7" s="6" t="s">
        <v>40</v>
      </c>
      <c r="H7" s="2" t="s">
        <v>41</v>
      </c>
      <c r="I7" s="7">
        <v>2112</v>
      </c>
      <c r="J7" s="7">
        <v>15604</v>
      </c>
    </row>
    <row r="8" spans="1:12" ht="14" x14ac:dyDescent="0.15">
      <c r="A8" s="15">
        <v>25</v>
      </c>
      <c r="B8" s="3" t="s">
        <v>36</v>
      </c>
      <c r="C8" s="4" t="s">
        <v>37</v>
      </c>
      <c r="D8" s="5">
        <v>46030</v>
      </c>
      <c r="E8" s="3" t="s">
        <v>53</v>
      </c>
      <c r="F8" s="3" t="s">
        <v>54</v>
      </c>
      <c r="G8" s="6" t="s">
        <v>9</v>
      </c>
      <c r="H8" s="2" t="s">
        <v>55</v>
      </c>
      <c r="I8" s="7">
        <f>96*14</f>
        <v>1344</v>
      </c>
      <c r="J8" s="7">
        <f>582*14</f>
        <v>8148</v>
      </c>
    </row>
    <row r="9" spans="1:12" ht="14" x14ac:dyDescent="0.15">
      <c r="A9" s="15">
        <v>26</v>
      </c>
      <c r="B9" s="3" t="s">
        <v>36</v>
      </c>
      <c r="C9" s="4" t="s">
        <v>37</v>
      </c>
      <c r="D9" s="5">
        <v>46030</v>
      </c>
      <c r="E9" s="3" t="s">
        <v>56</v>
      </c>
      <c r="F9" s="3" t="s">
        <v>57</v>
      </c>
      <c r="G9" s="6" t="s">
        <v>9</v>
      </c>
      <c r="H9" s="2" t="s">
        <v>55</v>
      </c>
      <c r="I9" s="7">
        <f>94*7</f>
        <v>658</v>
      </c>
      <c r="J9" s="7">
        <f>584*7</f>
        <v>4088</v>
      </c>
    </row>
    <row r="10" spans="1:12" ht="14" x14ac:dyDescent="0.15">
      <c r="A10" s="15">
        <v>3</v>
      </c>
      <c r="B10" s="3" t="s">
        <v>5</v>
      </c>
      <c r="C10" s="4" t="s">
        <v>6</v>
      </c>
      <c r="D10" s="5">
        <v>46030</v>
      </c>
      <c r="E10" s="3" t="s">
        <v>13</v>
      </c>
      <c r="F10" s="3" t="s">
        <v>14</v>
      </c>
      <c r="G10" s="6" t="s">
        <v>15</v>
      </c>
      <c r="H10" s="2" t="s">
        <v>16</v>
      </c>
      <c r="I10" s="7"/>
      <c r="J10" s="7">
        <v>42420</v>
      </c>
    </row>
    <row r="11" spans="1:12" ht="14" x14ac:dyDescent="0.15">
      <c r="A11" s="15">
        <v>6</v>
      </c>
      <c r="B11" s="3" t="s">
        <v>5</v>
      </c>
      <c r="C11" s="4" t="s">
        <v>6</v>
      </c>
      <c r="D11" s="5">
        <v>46030</v>
      </c>
      <c r="E11" s="3" t="s">
        <v>17</v>
      </c>
      <c r="F11" s="3" t="s">
        <v>18</v>
      </c>
      <c r="G11" s="6" t="s">
        <v>15</v>
      </c>
      <c r="H11" s="2" t="s">
        <v>16</v>
      </c>
      <c r="I11" s="7">
        <v>31104</v>
      </c>
      <c r="J11" s="7">
        <v>10366</v>
      </c>
    </row>
    <row r="12" spans="1:12" ht="14" x14ac:dyDescent="0.15">
      <c r="A12" s="15">
        <v>15</v>
      </c>
      <c r="B12" s="3" t="s">
        <v>5</v>
      </c>
      <c r="C12" s="4" t="s">
        <v>6</v>
      </c>
      <c r="D12" s="5">
        <v>46030</v>
      </c>
      <c r="E12" s="3" t="s">
        <v>32</v>
      </c>
      <c r="F12" s="3" t="s">
        <v>33</v>
      </c>
      <c r="G12" s="6" t="s">
        <v>9</v>
      </c>
      <c r="H12" s="2" t="s">
        <v>29</v>
      </c>
      <c r="I12" s="7"/>
      <c r="J12" s="7">
        <v>249</v>
      </c>
    </row>
    <row r="13" spans="1:12" ht="14" x14ac:dyDescent="0.15">
      <c r="A13" s="15">
        <v>18</v>
      </c>
      <c r="B13" s="3" t="s">
        <v>5</v>
      </c>
      <c r="C13" s="4" t="s">
        <v>6</v>
      </c>
      <c r="D13" s="5">
        <v>46030</v>
      </c>
      <c r="E13" s="3" t="s">
        <v>32</v>
      </c>
      <c r="F13" s="3" t="s">
        <v>33</v>
      </c>
      <c r="G13" s="6" t="s">
        <v>9</v>
      </c>
      <c r="H13" s="2" t="s">
        <v>29</v>
      </c>
      <c r="I13" s="7"/>
      <c r="J13" s="7">
        <v>761</v>
      </c>
      <c r="L13" s="11"/>
    </row>
    <row r="14" spans="1:12" ht="14" x14ac:dyDescent="0.15">
      <c r="A14" s="15">
        <v>14</v>
      </c>
      <c r="B14" s="3" t="s">
        <v>5</v>
      </c>
      <c r="C14" s="4" t="s">
        <v>6</v>
      </c>
      <c r="D14" s="5">
        <v>46030</v>
      </c>
      <c r="E14" s="3" t="s">
        <v>30</v>
      </c>
      <c r="F14" s="3" t="s">
        <v>31</v>
      </c>
      <c r="G14" s="6" t="s">
        <v>9</v>
      </c>
      <c r="H14" s="2" t="s">
        <v>29</v>
      </c>
      <c r="I14" s="7"/>
      <c r="J14" s="7">
        <v>565</v>
      </c>
    </row>
    <row r="15" spans="1:12" ht="14" x14ac:dyDescent="0.15">
      <c r="A15" s="15">
        <v>17</v>
      </c>
      <c r="B15" s="3" t="s">
        <v>5</v>
      </c>
      <c r="C15" s="4" t="s">
        <v>6</v>
      </c>
      <c r="D15" s="5">
        <v>46030</v>
      </c>
      <c r="E15" s="3" t="s">
        <v>34</v>
      </c>
      <c r="F15" s="3" t="s">
        <v>35</v>
      </c>
      <c r="G15" s="6" t="s">
        <v>9</v>
      </c>
      <c r="H15" s="2" t="s">
        <v>29</v>
      </c>
      <c r="I15" s="7"/>
      <c r="J15" s="7">
        <v>1997</v>
      </c>
    </row>
    <row r="16" spans="1:12" ht="14" x14ac:dyDescent="0.15">
      <c r="A16" s="15">
        <v>13</v>
      </c>
      <c r="B16" s="3" t="s">
        <v>5</v>
      </c>
      <c r="C16" s="4" t="s">
        <v>6</v>
      </c>
      <c r="D16" s="5">
        <v>46030</v>
      </c>
      <c r="E16" s="3" t="s">
        <v>27</v>
      </c>
      <c r="F16" s="3" t="s">
        <v>28</v>
      </c>
      <c r="G16" s="6" t="s">
        <v>9</v>
      </c>
      <c r="H16" s="2" t="s">
        <v>29</v>
      </c>
      <c r="I16" s="7"/>
      <c r="J16" s="7">
        <v>30</v>
      </c>
    </row>
    <row r="17" spans="1:11" ht="14" x14ac:dyDescent="0.15">
      <c r="A17" s="15">
        <v>16</v>
      </c>
      <c r="B17" s="3" t="s">
        <v>5</v>
      </c>
      <c r="C17" s="4" t="s">
        <v>6</v>
      </c>
      <c r="D17" s="5">
        <v>46030</v>
      </c>
      <c r="E17" s="3" t="s">
        <v>27</v>
      </c>
      <c r="F17" s="3" t="s">
        <v>28</v>
      </c>
      <c r="G17" s="6" t="s">
        <v>9</v>
      </c>
      <c r="H17" s="2" t="s">
        <v>29</v>
      </c>
      <c r="I17" s="7"/>
      <c r="J17" s="7">
        <v>91</v>
      </c>
    </row>
    <row r="18" spans="1:11" ht="14" x14ac:dyDescent="0.15">
      <c r="A18" s="15">
        <v>5</v>
      </c>
      <c r="B18" s="3" t="s">
        <v>5</v>
      </c>
      <c r="C18" s="4" t="s">
        <v>6</v>
      </c>
      <c r="D18" s="5">
        <v>46030</v>
      </c>
      <c r="E18" s="3" t="s">
        <v>11</v>
      </c>
      <c r="F18" s="3" t="s">
        <v>12</v>
      </c>
      <c r="G18" s="6" t="s">
        <v>9</v>
      </c>
      <c r="H18" s="2" t="s">
        <v>10</v>
      </c>
      <c r="I18" s="7">
        <v>12075</v>
      </c>
      <c r="J18" s="8">
        <v>0</v>
      </c>
    </row>
    <row r="19" spans="1:11" ht="14" x14ac:dyDescent="0.15">
      <c r="A19" s="15">
        <v>2</v>
      </c>
      <c r="B19" s="3" t="s">
        <v>5</v>
      </c>
      <c r="C19" s="4" t="s">
        <v>6</v>
      </c>
      <c r="D19" s="5">
        <v>46030</v>
      </c>
      <c r="E19" s="3" t="s">
        <v>11</v>
      </c>
      <c r="F19" s="3" t="s">
        <v>12</v>
      </c>
      <c r="G19" s="6" t="s">
        <v>9</v>
      </c>
      <c r="H19" s="2" t="s">
        <v>10</v>
      </c>
      <c r="I19" s="7">
        <v>10150</v>
      </c>
      <c r="J19" s="8">
        <v>0</v>
      </c>
    </row>
    <row r="20" spans="1:11" ht="15" thickBot="1" x14ac:dyDescent="0.2">
      <c r="A20" s="15">
        <v>4</v>
      </c>
      <c r="B20" s="3" t="s">
        <v>5</v>
      </c>
      <c r="C20" s="4" t="s">
        <v>6</v>
      </c>
      <c r="D20" s="5">
        <v>46030</v>
      </c>
      <c r="E20" s="3" t="s">
        <v>7</v>
      </c>
      <c r="F20" s="3" t="s">
        <v>8</v>
      </c>
      <c r="G20" s="6" t="s">
        <v>9</v>
      </c>
      <c r="H20" s="2" t="s">
        <v>10</v>
      </c>
      <c r="I20" s="7">
        <v>5875</v>
      </c>
      <c r="J20" s="8">
        <v>0</v>
      </c>
    </row>
    <row r="21" spans="1:11" ht="14" x14ac:dyDescent="0.15">
      <c r="A21" s="15">
        <v>1</v>
      </c>
      <c r="B21" s="3" t="s">
        <v>5</v>
      </c>
      <c r="C21" s="4" t="s">
        <v>6</v>
      </c>
      <c r="D21" s="5">
        <v>46030</v>
      </c>
      <c r="E21" s="3" t="s">
        <v>7</v>
      </c>
      <c r="F21" s="3" t="s">
        <v>8</v>
      </c>
      <c r="G21" s="6" t="s">
        <v>9</v>
      </c>
      <c r="H21" s="2" t="s">
        <v>10</v>
      </c>
      <c r="I21" s="7">
        <v>5025</v>
      </c>
      <c r="J21" s="8">
        <v>0</v>
      </c>
      <c r="K21" s="28" t="s">
        <v>42</v>
      </c>
    </row>
    <row r="22" spans="1:11" ht="14" x14ac:dyDescent="0.15">
      <c r="A22" s="15">
        <v>22</v>
      </c>
      <c r="B22" s="3" t="s">
        <v>36</v>
      </c>
      <c r="C22" s="4" t="s">
        <v>37</v>
      </c>
      <c r="D22" s="5">
        <v>46030</v>
      </c>
      <c r="E22" s="3" t="s">
        <v>46</v>
      </c>
      <c r="F22" s="3" t="s">
        <v>47</v>
      </c>
      <c r="G22" s="6" t="s">
        <v>9</v>
      </c>
      <c r="H22" s="2" t="s">
        <v>45</v>
      </c>
      <c r="I22" s="7"/>
      <c r="J22" s="7">
        <v>9706</v>
      </c>
      <c r="K22" s="29"/>
    </row>
    <row r="23" spans="1:11" ht="14" x14ac:dyDescent="0.15">
      <c r="A23" s="15">
        <v>7</v>
      </c>
      <c r="B23" s="3" t="s">
        <v>5</v>
      </c>
      <c r="C23" s="4" t="s">
        <v>6</v>
      </c>
      <c r="D23" s="5">
        <v>46030</v>
      </c>
      <c r="E23" s="3" t="s">
        <v>19</v>
      </c>
      <c r="F23" s="3" t="s">
        <v>20</v>
      </c>
      <c r="G23" s="6" t="s">
        <v>9</v>
      </c>
      <c r="H23" s="2" t="s">
        <v>10</v>
      </c>
      <c r="I23" s="7"/>
      <c r="J23" s="7">
        <v>10700</v>
      </c>
      <c r="K23" s="29"/>
    </row>
    <row r="24" spans="1:11" ht="15" thickBot="1" x14ac:dyDescent="0.2">
      <c r="A24" s="15">
        <v>10</v>
      </c>
      <c r="B24" s="3" t="s">
        <v>5</v>
      </c>
      <c r="C24" s="4" t="s">
        <v>6</v>
      </c>
      <c r="D24" s="5">
        <v>46030</v>
      </c>
      <c r="E24" s="3" t="s">
        <v>19</v>
      </c>
      <c r="F24" s="3" t="s">
        <v>20</v>
      </c>
      <c r="G24" s="6" t="s">
        <v>9</v>
      </c>
      <c r="H24" s="2" t="s">
        <v>10</v>
      </c>
      <c r="I24" s="7"/>
      <c r="J24" s="7">
        <v>17050</v>
      </c>
      <c r="K24" s="30"/>
    </row>
    <row r="25" spans="1:11" ht="14" x14ac:dyDescent="0.15">
      <c r="A25" s="15">
        <v>8</v>
      </c>
      <c r="B25" s="3" t="s">
        <v>5</v>
      </c>
      <c r="C25" s="4" t="s">
        <v>6</v>
      </c>
      <c r="D25" s="5">
        <v>46030</v>
      </c>
      <c r="E25" s="3" t="s">
        <v>21</v>
      </c>
      <c r="F25" s="3" t="s">
        <v>22</v>
      </c>
      <c r="G25" s="6" t="s">
        <v>9</v>
      </c>
      <c r="H25" s="2" t="s">
        <v>10</v>
      </c>
      <c r="I25" s="7"/>
      <c r="J25" s="7">
        <v>21650</v>
      </c>
    </row>
    <row r="26" spans="1:11" ht="14" x14ac:dyDescent="0.15">
      <c r="A26" s="15">
        <v>11</v>
      </c>
      <c r="B26" s="3" t="s">
        <v>5</v>
      </c>
      <c r="C26" s="4" t="s">
        <v>6</v>
      </c>
      <c r="D26" s="5">
        <v>46030</v>
      </c>
      <c r="E26" s="3" t="s">
        <v>21</v>
      </c>
      <c r="F26" s="3" t="s">
        <v>22</v>
      </c>
      <c r="G26" s="6" t="s">
        <v>9</v>
      </c>
      <c r="H26" s="2" t="s">
        <v>10</v>
      </c>
      <c r="I26" s="7"/>
      <c r="J26" s="7">
        <v>34700</v>
      </c>
    </row>
    <row r="27" spans="1:11" ht="14" x14ac:dyDescent="0.15">
      <c r="A27" s="15">
        <v>23</v>
      </c>
      <c r="B27" s="3" t="s">
        <v>36</v>
      </c>
      <c r="C27" s="4" t="s">
        <v>37</v>
      </c>
      <c r="D27" s="5">
        <v>46030</v>
      </c>
      <c r="E27" s="3" t="s">
        <v>48</v>
      </c>
      <c r="F27" s="3" t="s">
        <v>49</v>
      </c>
      <c r="G27" s="6" t="s">
        <v>9</v>
      </c>
      <c r="H27" s="2" t="s">
        <v>45</v>
      </c>
      <c r="I27" s="7"/>
      <c r="J27" s="7">
        <f>243*10</f>
        <v>2430</v>
      </c>
    </row>
    <row r="28" spans="1:11" ht="14" x14ac:dyDescent="0.15">
      <c r="A28" s="15">
        <v>28</v>
      </c>
      <c r="B28" s="3" t="s">
        <v>36</v>
      </c>
      <c r="C28" s="4" t="s">
        <v>37</v>
      </c>
      <c r="D28" s="5">
        <v>46030</v>
      </c>
      <c r="E28" s="3" t="s">
        <v>60</v>
      </c>
      <c r="F28" s="3" t="s">
        <v>61</v>
      </c>
      <c r="G28" s="6" t="s">
        <v>9</v>
      </c>
      <c r="H28" s="2" t="s">
        <v>45</v>
      </c>
      <c r="I28" s="7"/>
      <c r="J28" s="7">
        <f>106*8.4</f>
        <v>890.40000000000009</v>
      </c>
    </row>
    <row r="29" spans="1:11" ht="14" x14ac:dyDescent="0.15">
      <c r="A29" s="21">
        <v>27</v>
      </c>
      <c r="B29" s="22" t="s">
        <v>36</v>
      </c>
      <c r="C29" s="23" t="s">
        <v>37</v>
      </c>
      <c r="D29" s="24">
        <v>46030</v>
      </c>
      <c r="E29" s="22" t="s">
        <v>58</v>
      </c>
      <c r="F29" s="22" t="s">
        <v>59</v>
      </c>
      <c r="G29" s="25" t="s">
        <v>9</v>
      </c>
      <c r="H29" s="26" t="s">
        <v>55</v>
      </c>
      <c r="I29" s="27">
        <f>13*8</f>
        <v>104</v>
      </c>
      <c r="J29" s="27">
        <f>78*8</f>
        <v>624</v>
      </c>
    </row>
    <row r="30" spans="1:11" x14ac:dyDescent="0.15">
      <c r="E30" s="9" t="s">
        <v>66</v>
      </c>
      <c r="F30" s="9" t="s">
        <v>67</v>
      </c>
      <c r="G30" s="9" t="s">
        <v>68</v>
      </c>
      <c r="H30" s="13" t="s">
        <v>10</v>
      </c>
      <c r="I30" s="14">
        <v>2000</v>
      </c>
    </row>
  </sheetData>
  <mergeCells count="1">
    <mergeCell ref="K21:K24"/>
  </mergeCells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Sahadevan</dc:creator>
  <cp:lastModifiedBy>Johnson Andrew</cp:lastModifiedBy>
  <dcterms:created xsi:type="dcterms:W3CDTF">2026-05-19T08:59:26Z</dcterms:created>
  <dcterms:modified xsi:type="dcterms:W3CDTF">2026-05-29T13:20:22Z</dcterms:modified>
</cp:coreProperties>
</file>